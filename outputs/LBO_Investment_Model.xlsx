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Operating Model" sheetId="3" state="visible" r:id="rId3"/>
    <sheet name="Debt Schedule" sheetId="4" state="visible" r:id="rId4"/>
    <sheet name="Returns" sheetId="5" state="visible" r:id="rId5"/>
    <sheet name="Sensitivitie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;(0.0%);-"/>
    <numFmt numFmtId="165" formatCode="0.0x;(0.0x);-"/>
    <numFmt numFmtId="166" formatCode="€#,##0.0,,&quot;M&quot;;(€#,##0.0,,&quot;M&quot;);-"/>
  </numFmts>
  <fonts count="12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008000"/>
      <sz val="9"/>
    </font>
    <font>
      <name val="Arial"/>
      <color rgb="000000FF"/>
      <sz val="10"/>
    </font>
    <font>
      <name val="Arial"/>
      <i val="1"/>
      <color rgb="00595959"/>
      <sz val="8"/>
    </font>
    <font>
      <name val="Arial"/>
      <b val="1"/>
      <color rgb="00FFFFFF"/>
      <sz val="8"/>
    </font>
    <font>
      <name val="Arial"/>
      <b val="1"/>
      <color rgb="00000000"/>
      <sz val="10"/>
    </font>
    <font>
      <name val="Arial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bottom style="thin">
        <color rgb="0017365D"/>
      </bottom>
    </border>
    <border/>
    <border>
      <bottom style="thin">
        <color rgb="00FFFFFF"/>
      </bottom>
    </border>
    <border>
      <top style="thin">
        <color rgb="00000000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0" pivotButton="0" quotePrefix="0" xfId="0"/>
    <xf numFmtId="0" fontId="3" fillId="2" borderId="2" pivotButton="0" quotePrefix="0" xfId="0"/>
    <xf numFmtId="0" fontId="4" fillId="3" borderId="3" applyAlignment="1" pivotButton="0" quotePrefix="0" xfId="0">
      <alignment horizontal="center" vertical="center" wrapText="1"/>
    </xf>
    <xf numFmtId="0" fontId="11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6" fontId="5" fillId="4" borderId="0" pivotButton="0" quotePrefix="0" xfId="0"/>
    <xf numFmtId="0" fontId="6" fillId="5" borderId="0" applyAlignment="1" pivotButton="0" quotePrefix="0" xfId="0">
      <alignment horizontal="center"/>
    </xf>
    <xf numFmtId="166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0" fontId="7" fillId="0" borderId="0" pivotButton="0" quotePrefix="0" xfId="0"/>
    <xf numFmtId="0" fontId="9" fillId="3" borderId="0" pivotButton="0" quotePrefix="0" xfId="0"/>
    <xf numFmtId="166" fontId="11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0" fontId="10" fillId="0" borderId="4" pivotButton="0" quotePrefix="0" xfId="0"/>
    <xf numFmtId="166" fontId="10" fillId="0" borderId="4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10" fillId="0" borderId="4" applyAlignment="1" pivotButton="0" quotePrefix="0" xfId="0">
      <alignment horizontal="right"/>
    </xf>
    <xf numFmtId="166" fontId="10" fillId="0" borderId="4" pivotButton="0" quotePrefix="0" xfId="0"/>
    <xf numFmtId="0" fontId="11" fillId="4" borderId="0" pivotButton="0" quotePrefix="0" xfId="0"/>
    <xf numFmtId="166" fontId="11" fillId="4" borderId="0" pivotButton="0" quotePrefix="0" xfId="0"/>
    <xf numFmtId="165" fontId="11" fillId="4" borderId="0" pivotButton="0" quotePrefix="0" xfId="0"/>
    <xf numFmtId="164" fontId="11" fillId="4" borderId="0" pivotButton="0" quotePrefix="0" xfId="0"/>
    <xf numFmtId="165" fontId="4" fillId="3" borderId="3" applyAlignment="1" pivotButton="0" quotePrefix="0" xfId="0">
      <alignment horizontal="center" vertical="center" wrapText="1"/>
    </xf>
    <xf numFmtId="1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Revenue and EBITDA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'Operating Model'!C8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'Operating Model'!$D$7:$I$7</f>
            </numRef>
          </cat>
          <val>
            <numRef>
              <f>'Operating Model'!$D$8:$I$8</f>
            </numRef>
          </val>
        </ser>
        <ser>
          <idx val="1"/>
          <order val="1"/>
          <tx>
            <strRef>
              <f>'Operating Model'!C10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'Operating Model'!$D$7:$I$7</f>
            </numRef>
          </cat>
          <val>
            <numRef>
              <f>'Operating Model'!$D$10:$I$10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 millions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EBITDA margin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'Operating Model'!C11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'Operating Model'!$D$7:$I$7</f>
            </numRef>
          </cat>
          <val>
            <numRef>
              <f>'Operating Model'!$D$11:$I$11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paydown by tranche</a:t>
            </a:r>
          </a:p>
        </rich>
      </tx>
    </title>
    <plotArea>
      <barChart>
        <barDir val="col"/>
        <grouping val="stacked"/>
        <ser>
          <idx val="0"/>
          <order val="0"/>
          <tx>
            <v>Term Loan A</v>
          </tx>
          <spPr>
            <a:ln>
              <a:prstDash val="solid"/>
            </a:ln>
          </spPr>
          <cat>
            <numRef>
              <f>'Debt Schedule'!$D$7:$H$7</f>
            </numRef>
          </cat>
          <val>
            <numRef>
              <f>'Debt Schedule'!$D$13:$H$13</f>
            </numRef>
          </val>
        </ser>
        <ser>
          <idx val="1"/>
          <order val="1"/>
          <tx>
            <v>Term Loan B</v>
          </tx>
          <spPr>
            <a:ln>
              <a:prstDash val="solid"/>
            </a:ln>
          </spPr>
          <cat>
            <numRef>
              <f>'Debt Schedule'!$D$7:$H$7</f>
            </numRef>
          </cat>
          <val>
            <numRef>
              <f>'Debt Schedule'!$D$23:$H$23</f>
            </numRef>
          </val>
        </ser>
        <ser>
          <idx val="2"/>
          <order val="2"/>
          <tx>
            <v>Subordinated PIK Note</v>
          </tx>
          <spPr>
            <a:ln>
              <a:prstDash val="solid"/>
            </a:ln>
          </spPr>
          <cat>
            <numRef>
              <f>'Debt Schedule'!$D$7:$H$7</f>
            </numRef>
          </cat>
          <val>
            <numRef>
              <f>'Debt Schedule'!$D$33:$H$33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 millions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Debt / EBITDA</a:t>
            </a:r>
          </a:p>
        </rich>
      </tx>
    </title>
    <plotArea>
      <lineChart>
        <grouping val="standard"/>
        <ser>
          <idx val="0"/>
          <order val="0"/>
          <tx>
            <strRef>
              <f>'Debt Schedule'!C46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'Debt Schedule'!$D$7:$H$7</f>
            </numRef>
          </cat>
          <val>
            <numRef>
              <f>'Debt Schedule'!$D$46:$H$46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Sponsor equity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'Returns'!D36</f>
            </strRef>
          </tx>
          <spPr>
            <a:ln>
              <a:prstDash val="solid"/>
            </a:ln>
          </spPr>
          <cat>
            <numRef>
              <f>'Returns'!$C$37:$C$39</f>
            </numRef>
          </cat>
          <val>
            <numRef>
              <f>'Returns'!$D$37:$D$39</f>
            </numRef>
          </val>
        </ser>
        <ser>
          <idx val="1"/>
          <order val="1"/>
          <tx>
            <strRef>
              <f>'Returns'!E36</f>
            </strRef>
          </tx>
          <spPr>
            <a:ln>
              <a:prstDash val="solid"/>
            </a:ln>
          </spPr>
          <cat>
            <numRef>
              <f>'Returns'!$C$37:$C$39</f>
            </numRef>
          </cat>
          <val>
            <numRef>
              <f>'Returns'!$E$37:$E$39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 millions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24</row>
      <rowOff>0</rowOff>
    </from>
    <ext cx="55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55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48</row>
      <rowOff>0</rowOff>
    </from>
    <ext cx="55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48</row>
      <rowOff>0</rowOff>
    </from>
    <ext cx="55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41</row>
      <rowOff>0</rowOff>
    </from>
    <ext cx="55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zoomScale="90" workbookViewId="0">
      <selection activeCell="C2" sqref="C2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15" customWidth="1" min="4" max="4"/>
    <col width="17" customWidth="1" min="5" max="5"/>
    <col width="17" customWidth="1" min="6" max="6"/>
    <col width="17" customWidth="1" min="7" max="7"/>
    <col width="25" customWidth="1" min="8" max="8"/>
    <col width="17" customWidth="1" min="9" max="9"/>
    <col width="17" customWidth="1" min="10" max="10"/>
    <col width="18" customWidth="1" min="11" max="11"/>
  </cols>
  <sheetData>
    <row r="1"/>
    <row r="2">
      <c r="C2" s="1" t="inlineStr">
        <is>
          <t>LBO Investment Model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C3" s="3" t="inlineStr">
        <is>
          <t>Northstar Components | Fictional transaction | EUR | 5-year hold</t>
        </is>
      </c>
    </row>
    <row r="4"/>
    <row r="5"/>
    <row r="6">
      <c r="C6" s="4" t="inlineStr">
        <is>
          <t>Scenario returns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24" customHeight="1">
      <c r="C7" s="5" t="inlineStr">
        <is>
          <t>Scenario</t>
        </is>
      </c>
      <c r="D7" s="5" t="inlineStr">
        <is>
          <t>Revenue Growth</t>
        </is>
      </c>
      <c r="E7" s="5" t="inlineStr">
        <is>
          <t>Exit EBITDA Margin</t>
        </is>
      </c>
      <c r="F7" s="5" t="inlineStr">
        <is>
          <t>Exit Multiple</t>
        </is>
      </c>
      <c r="G7" s="5" t="inlineStr">
        <is>
          <t>Exit Equity Value</t>
        </is>
      </c>
      <c r="H7" s="5" t="inlineStr">
        <is>
          <t>Gross Debt Paydown</t>
        </is>
      </c>
      <c r="I7" s="5" t="inlineStr">
        <is>
          <t>Exit Net Leverage</t>
        </is>
      </c>
      <c r="J7" s="5" t="inlineStr">
        <is>
          <t>MOIC</t>
        </is>
      </c>
      <c r="K7" s="5" t="inlineStr">
        <is>
          <t>IRR</t>
        </is>
      </c>
    </row>
    <row r="8">
      <c r="C8" s="6" t="inlineStr">
        <is>
          <t>Bear</t>
        </is>
      </c>
      <c r="D8" s="7" t="n">
        <v>0.03</v>
      </c>
      <c r="E8" s="7" t="n">
        <v>0.2</v>
      </c>
      <c r="F8" s="8" t="n">
        <v>6.5</v>
      </c>
      <c r="G8" s="9" t="n">
        <v>324827399.259908</v>
      </c>
      <c r="H8" s="9" t="n">
        <v>117695103.7952758</v>
      </c>
      <c r="I8" s="8" t="n">
        <v>1.765017199829022</v>
      </c>
      <c r="J8" s="8" t="n">
        <v>1.629024068505055</v>
      </c>
      <c r="K8" s="7" t="n">
        <v>0.1025175216943248</v>
      </c>
    </row>
    <row r="9">
      <c r="C9" s="10" t="inlineStr">
        <is>
          <t>Base</t>
        </is>
      </c>
      <c r="D9" s="11" t="n">
        <v>0.07000000000000001</v>
      </c>
      <c r="E9" s="11" t="n">
        <v>0.225</v>
      </c>
      <c r="F9" s="12" t="n">
        <v>7.5</v>
      </c>
      <c r="G9" s="13" t="n">
        <v>618891062.8678669</v>
      </c>
      <c r="H9" s="13" t="n">
        <v>167372003.8893657</v>
      </c>
      <c r="I9" s="12" t="n">
        <v>0.8878033417667072</v>
      </c>
      <c r="J9" s="12" t="n">
        <v>3.10376661418188</v>
      </c>
      <c r="K9" s="11" t="n">
        <v>0.2542318107106598</v>
      </c>
    </row>
    <row r="10">
      <c r="C10" s="6" t="inlineStr">
        <is>
          <t>Bull</t>
        </is>
      </c>
      <c r="D10" s="7" t="n">
        <v>0.1</v>
      </c>
      <c r="E10" s="7" t="n">
        <v>0.2375</v>
      </c>
      <c r="F10" s="8" t="n">
        <v>8.5</v>
      </c>
      <c r="G10" s="9" t="n">
        <v>909779974.6957276</v>
      </c>
      <c r="H10" s="9" t="n">
        <v>209168507.1332272</v>
      </c>
      <c r="I10" s="8" t="n">
        <v>0.4865538865853241</v>
      </c>
      <c r="J10" s="8" t="n">
        <v>4.562587636387802</v>
      </c>
      <c r="K10" s="7" t="n">
        <v>0.3546972333469118</v>
      </c>
    </row>
    <row r="11"/>
    <row r="12"/>
    <row r="13">
      <c r="C13" s="4" t="inlineStr">
        <is>
          <t>Transaction overview</t>
        </is>
      </c>
      <c r="D13" s="4" t="n"/>
      <c r="E13" s="4" t="n"/>
      <c r="F13" s="4" t="n"/>
      <c r="H13" s="4" t="inlineStr">
        <is>
          <t>Model checks</t>
        </is>
      </c>
      <c r="I13" s="4" t="n"/>
      <c r="J13" s="4" t="n"/>
      <c r="K13" s="4" t="n"/>
    </row>
    <row r="14">
      <c r="C14" s="6" t="inlineStr">
        <is>
          <t>Entry enterprise value</t>
        </is>
      </c>
      <c r="E14" s="9" t="n">
        <v>450000000</v>
      </c>
      <c r="H14" s="6" t="inlineStr">
        <is>
          <t>Sources equal Uses</t>
        </is>
      </c>
      <c r="K14" s="14" t="inlineStr">
        <is>
          <t>PASS</t>
        </is>
      </c>
    </row>
    <row r="15">
      <c r="C15" s="6" t="inlineStr">
        <is>
          <t>Entry EBITDA</t>
        </is>
      </c>
      <c r="E15" s="9" t="n">
        <v>60000000</v>
      </c>
      <c r="H15" s="6" t="inlineStr">
        <is>
          <t>Entry EV reconciliation</t>
        </is>
      </c>
      <c r="K15" s="14" t="inlineStr">
        <is>
          <t>PASS</t>
        </is>
      </c>
    </row>
    <row r="16">
      <c r="C16" s="6" t="inlineStr">
        <is>
          <t>Entry multiple</t>
        </is>
      </c>
      <c r="E16" s="8" t="n">
        <v>7.5</v>
      </c>
      <c r="H16" s="6" t="inlineStr">
        <is>
          <t>Initial debt sizing</t>
        </is>
      </c>
      <c r="K16" s="14" t="inlineStr">
        <is>
          <t>PASS</t>
        </is>
      </c>
    </row>
    <row r="17">
      <c r="C17" s="6" t="inlineStr">
        <is>
          <t>Initial gross debt</t>
        </is>
      </c>
      <c r="E17" s="9" t="n">
        <v>270000000</v>
      </c>
      <c r="H17" s="6" t="inlineStr">
        <is>
          <t>Debt roll-forward</t>
        </is>
      </c>
      <c r="K17" s="14" t="inlineStr">
        <is>
          <t>PASS</t>
        </is>
      </c>
    </row>
    <row r="18">
      <c r="C18" s="6" t="inlineStr">
        <is>
          <t>Initial gross leverage</t>
        </is>
      </c>
      <c r="E18" s="8" t="n">
        <v>4.5</v>
      </c>
      <c r="H18" s="6" t="inlineStr">
        <is>
          <t>Non-negative debt</t>
        </is>
      </c>
      <c r="K18" s="14" t="inlineStr">
        <is>
          <t>PASS</t>
        </is>
      </c>
    </row>
    <row r="19">
      <c r="C19" s="6" t="inlineStr">
        <is>
          <t>Sponsor equity invested</t>
        </is>
      </c>
      <c r="E19" s="9" t="n">
        <v>199400000</v>
      </c>
      <c r="H19" s="6" t="inlineStr">
        <is>
          <t>Free cash flow bridge</t>
        </is>
      </c>
      <c r="K19" s="14" t="inlineStr">
        <is>
          <t>PASS</t>
        </is>
      </c>
    </row>
    <row r="20">
      <c r="H20" s="6" t="inlineStr">
        <is>
          <t>Cash roll-forward</t>
        </is>
      </c>
      <c r="K20" s="14" t="inlineStr">
        <is>
          <t>PASS</t>
        </is>
      </c>
    </row>
    <row r="21">
      <c r="H21" s="6" t="inlineStr">
        <is>
          <t>Exit EV to equity bridge</t>
        </is>
      </c>
      <c r="K21" s="14" t="inlineStr">
        <is>
          <t>PASS</t>
        </is>
      </c>
    </row>
    <row r="22">
      <c r="H22" s="6" t="inlineStr">
        <is>
          <t>Scenario output consistency</t>
        </is>
      </c>
      <c r="K22" s="14" t="inlineStr">
        <is>
          <t>PASS</t>
        </is>
      </c>
    </row>
  </sheetData>
  <pageMargins left="0.75" right="0.75" top="1" bottom="1" header="0.5" footer="0.5"/>
  <pageSetup fitToHeight="0" fitToWidth="1"/>
  <headerFooter>
    <oddHeader/>
    <oddFooter>&amp;C&amp;8 &amp;K595959Fictional transaction — analytical and portfolio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6B656"/>
    <outlinePr summaryBelow="1" summaryRight="1"/>
    <pageSetUpPr fitToPage="1"/>
  </sheetPr>
  <dimension ref="A1:L40"/>
  <sheetViews>
    <sheetView showGridLines="0" zoomScale="90" workbookViewId="0">
      <pane xSplit="3" ySplit="6" topLeftCell="D7" activePane="bottomRight" state="frozen"/>
      <selection pane="topRight" activeCell="C2" sqref="C2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8" customWidth="1" min="3" max="3"/>
    <col width="18" customWidth="1" min="4" max="4"/>
    <col width="24" customWidth="1" min="5" max="5"/>
    <col width="20" customWidth="1" min="6" max="6"/>
    <col width="18" customWidth="1" min="7" max="7"/>
    <col width="20" customWidth="1" min="8" max="8"/>
    <col width="15" customWidth="1" min="9" max="9"/>
    <col width="19" customWidth="1" min="10" max="10"/>
  </cols>
  <sheetData>
    <row r="1"/>
    <row r="2">
      <c r="C2" s="1" t="inlineStr">
        <is>
          <t>Assumptions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C3" s="3" t="inlineStr">
        <is>
          <t>Blue-font cells identify Python inputs; edit assumptions.py and regenerate. All company data are fictional.</t>
        </is>
      </c>
    </row>
    <row r="4"/>
    <row r="5"/>
    <row r="6">
      <c r="C6" s="4" t="inlineStr">
        <is>
          <t>Entry assumptions</t>
        </is>
      </c>
      <c r="D6" s="4" t="n"/>
      <c r="E6" s="4" t="n"/>
      <c r="F6" s="4" t="n"/>
    </row>
    <row r="7" ht="24" customHeight="1">
      <c r="C7" s="5" t="inlineStr">
        <is>
          <t>Assumption</t>
        </is>
      </c>
      <c r="D7" s="5" t="inlineStr">
        <is>
          <t>Value</t>
        </is>
      </c>
      <c r="E7" s="5" t="inlineStr">
        <is>
          <t>Units</t>
        </is>
      </c>
      <c r="F7" s="5" t="inlineStr">
        <is>
          <t>Notes</t>
        </is>
      </c>
    </row>
    <row r="8">
      <c r="C8" s="6" t="inlineStr">
        <is>
          <t>Entry revenue</t>
        </is>
      </c>
      <c r="D8" s="15" t="n">
        <v>300000000</v>
      </c>
      <c r="E8" s="6" t="inlineStr">
        <is>
          <t>€</t>
        </is>
      </c>
      <c r="F8" s="6" t="inlineStr">
        <is>
          <t>LTM revenue</t>
        </is>
      </c>
    </row>
    <row r="9">
      <c r="C9" s="6" t="inlineStr">
        <is>
          <t>Entry EBITDA margin</t>
        </is>
      </c>
      <c r="D9" s="16" t="n">
        <v>0.2</v>
      </c>
      <c r="E9" s="6" t="inlineStr">
        <is>
          <t>%</t>
        </is>
      </c>
      <c r="F9" s="6" t="inlineStr">
        <is>
          <t>LTM margin</t>
        </is>
      </c>
    </row>
    <row r="10">
      <c r="C10" s="6" t="inlineStr">
        <is>
          <t>Entry EBITDA</t>
        </is>
      </c>
      <c r="D10" s="15" t="n">
        <v>60000000</v>
      </c>
      <c r="E10" s="6" t="inlineStr">
        <is>
          <t>€</t>
        </is>
      </c>
      <c r="F10" s="6" t="inlineStr">
        <is>
          <t>Revenue × margin</t>
        </is>
      </c>
    </row>
    <row r="11">
      <c r="C11" s="6" t="inlineStr">
        <is>
          <t>Entry multiple</t>
        </is>
      </c>
      <c r="D11" s="17" t="n">
        <v>7.5</v>
      </c>
      <c r="E11" s="6" t="inlineStr">
        <is>
          <t>x</t>
        </is>
      </c>
      <c r="F11" s="6" t="inlineStr">
        <is>
          <t>EV / EBITDA</t>
        </is>
      </c>
    </row>
    <row r="12">
      <c r="C12" s="6" t="inlineStr">
        <is>
          <t>Transaction fees</t>
        </is>
      </c>
      <c r="D12" s="16" t="n">
        <v>0.02</v>
      </c>
      <c r="E12" s="6" t="inlineStr">
        <is>
          <t>%</t>
        </is>
      </c>
      <c r="F12" s="6" t="inlineStr">
        <is>
          <t>% of entry EV</t>
        </is>
      </c>
    </row>
    <row r="13">
      <c r="C13" s="6" t="inlineStr">
        <is>
          <t>Financing fees</t>
        </is>
      </c>
      <c r="D13" s="16" t="n">
        <v>0.02</v>
      </c>
      <c r="E13" s="6" t="inlineStr">
        <is>
          <t>%</t>
        </is>
      </c>
      <c r="F13" s="6" t="inlineStr">
        <is>
          <t>% of funded debt</t>
        </is>
      </c>
    </row>
    <row r="14">
      <c r="C14" s="6" t="inlineStr">
        <is>
          <t>Minimum cash</t>
        </is>
      </c>
      <c r="D14" s="15" t="n">
        <v>5000000</v>
      </c>
      <c r="E14" s="6" t="inlineStr">
        <is>
          <t>€</t>
        </is>
      </c>
      <c r="F14" s="6" t="inlineStr">
        <is>
          <t>Funded at close</t>
        </is>
      </c>
    </row>
    <row r="15">
      <c r="C15" s="6" t="inlineStr">
        <is>
          <t>Exit fees</t>
        </is>
      </c>
      <c r="D15" s="16" t="n">
        <v>0.01</v>
      </c>
      <c r="E15" s="6" t="inlineStr">
        <is>
          <t>%</t>
        </is>
      </c>
      <c r="F15" s="6" t="inlineStr">
        <is>
          <t>% of exit EV</t>
        </is>
      </c>
    </row>
    <row r="16">
      <c r="C16" s="6" t="inlineStr">
        <is>
          <t>Holding period</t>
        </is>
      </c>
      <c r="D16" s="18" t="n">
        <v>5</v>
      </c>
      <c r="E16" s="6" t="inlineStr">
        <is>
          <t>years</t>
        </is>
      </c>
      <c r="F16" s="6" t="inlineStr">
        <is>
          <t>Years</t>
        </is>
      </c>
    </row>
    <row r="17"/>
    <row r="18"/>
    <row r="19">
      <c r="C19" s="4" t="inlineStr">
        <is>
          <t>Operating assumptions</t>
        </is>
      </c>
      <c r="D19" s="4" t="n"/>
      <c r="E19" s="4" t="n"/>
      <c r="F19" s="4" t="n"/>
    </row>
    <row r="20" ht="24" customHeight="1">
      <c r="C20" s="5" t="inlineStr">
        <is>
          <t>Assumption</t>
        </is>
      </c>
      <c r="D20" s="5" t="inlineStr">
        <is>
          <t>Value</t>
        </is>
      </c>
      <c r="E20" s="5" t="inlineStr">
        <is>
          <t>Units</t>
        </is>
      </c>
      <c r="F20" s="5" t="inlineStr">
        <is>
          <t>Notes</t>
        </is>
      </c>
    </row>
    <row r="21">
      <c r="C21" s="6" t="inlineStr">
        <is>
          <t>D&amp;A as % of revenue</t>
        </is>
      </c>
      <c r="D21" s="16" t="n">
        <v>0.04</v>
      </c>
      <c r="E21" s="6" t="inlineStr">
        <is>
          <t>%</t>
        </is>
      </c>
      <c r="F21" s="6" t="inlineStr">
        <is>
          <t>Non-cash depreciation</t>
        </is>
      </c>
    </row>
    <row r="22">
      <c r="C22" s="6" t="inlineStr">
        <is>
          <t>CapEx as % of revenue</t>
        </is>
      </c>
      <c r="D22" s="16" t="n">
        <v>0.03</v>
      </c>
      <c r="E22" s="6" t="inlineStr">
        <is>
          <t>%</t>
        </is>
      </c>
      <c r="F22" s="6" t="inlineStr">
        <is>
          <t>Maintenance and growth CapEx</t>
        </is>
      </c>
    </row>
    <row r="23">
      <c r="C23" s="6" t="inlineStr">
        <is>
          <t>NWC as % of revenue</t>
        </is>
      </c>
      <c r="D23" s="16" t="n">
        <v>0.15</v>
      </c>
      <c r="E23" s="6" t="inlineStr">
        <is>
          <t>%</t>
        </is>
      </c>
      <c r="F23" s="6" t="inlineStr">
        <is>
          <t>Change in annual balance drives cash flow</t>
        </is>
      </c>
    </row>
    <row r="24">
      <c r="C24" s="6" t="inlineStr">
        <is>
          <t>Cash tax rate</t>
        </is>
      </c>
      <c r="D24" s="16" t="n">
        <v>0.28</v>
      </c>
      <c r="E24" s="6" t="inlineStr">
        <is>
          <t>%</t>
        </is>
      </c>
      <c r="F24" s="6" t="inlineStr">
        <is>
          <t>No NOL carryforward modeled</t>
        </is>
      </c>
    </row>
    <row r="25"/>
    <row r="26"/>
    <row r="27"/>
    <row r="28">
      <c r="C28" s="4" t="inlineStr">
        <is>
          <t>Scenario assumptions</t>
        </is>
      </c>
      <c r="D28" s="4" t="n"/>
      <c r="E28" s="4" t="n"/>
      <c r="F28" s="4" t="n"/>
      <c r="G28" s="4" t="n"/>
      <c r="H28" s="4" t="n"/>
    </row>
    <row r="29" ht="24" customHeight="1">
      <c r="C29" s="5" t="inlineStr">
        <is>
          <t>Scenario</t>
        </is>
      </c>
      <c r="D29" s="5" t="inlineStr">
        <is>
          <t>Revenue Growth</t>
        </is>
      </c>
      <c r="E29" s="5" t="inlineStr">
        <is>
          <t>Annual Margin Expansion</t>
        </is>
      </c>
      <c r="F29" s="5" t="inlineStr">
        <is>
          <t>Exit Multiple</t>
        </is>
      </c>
      <c r="G29" s="5" t="inlineStr">
        <is>
          <t>Cash Sweep</t>
        </is>
      </c>
      <c r="H29" s="5" t="inlineStr">
        <is>
          <t>Capital Structure</t>
        </is>
      </c>
    </row>
    <row r="30">
      <c r="C30" s="6" t="inlineStr">
        <is>
          <t>Bear</t>
        </is>
      </c>
      <c r="D30" s="16" t="n">
        <v>0.03</v>
      </c>
      <c r="E30" s="16" t="n">
        <v>0</v>
      </c>
      <c r="F30" s="17" t="n">
        <v>6.5</v>
      </c>
      <c r="G30" s="16" t="n">
        <v>0.5</v>
      </c>
      <c r="H30" s="6" t="inlineStr">
        <is>
          <t>Held constant</t>
        </is>
      </c>
    </row>
    <row r="31">
      <c r="C31" s="6" t="inlineStr">
        <is>
          <t>Base</t>
        </is>
      </c>
      <c r="D31" s="16" t="n">
        <v>0.07000000000000001</v>
      </c>
      <c r="E31" s="16" t="n">
        <v>0.005</v>
      </c>
      <c r="F31" s="17" t="n">
        <v>7.5</v>
      </c>
      <c r="G31" s="16" t="n">
        <v>0.75</v>
      </c>
      <c r="H31" s="6" t="inlineStr">
        <is>
          <t>Held constant</t>
        </is>
      </c>
    </row>
    <row r="32">
      <c r="C32" s="6" t="inlineStr">
        <is>
          <t>Bull</t>
        </is>
      </c>
      <c r="D32" s="16" t="n">
        <v>0.1</v>
      </c>
      <c r="E32" s="16" t="n">
        <v>0.0075</v>
      </c>
      <c r="F32" s="17" t="n">
        <v>8.5</v>
      </c>
      <c r="G32" s="16" t="n">
        <v>1</v>
      </c>
      <c r="H32" s="6" t="inlineStr">
        <is>
          <t>Held constant</t>
        </is>
      </c>
    </row>
    <row r="33"/>
    <row r="34"/>
    <row r="35"/>
    <row r="36">
      <c r="C36" s="4" t="inlineStr">
        <is>
          <t>Debt tranche assumptions</t>
        </is>
      </c>
      <c r="D36" s="4" t="n"/>
      <c r="E36" s="4" t="n"/>
      <c r="F36" s="4" t="n"/>
      <c r="G36" s="4" t="n"/>
      <c r="H36" s="4" t="n"/>
      <c r="I36" s="4" t="n"/>
      <c r="J36" s="4" t="n"/>
    </row>
    <row r="37" ht="24" customHeight="1">
      <c r="C37" s="5" t="inlineStr">
        <is>
          <t>Tranche</t>
        </is>
      </c>
      <c r="D37" s="5" t="inlineStr">
        <is>
          <t>Leverage</t>
        </is>
      </c>
      <c r="E37" s="5" t="inlineStr">
        <is>
          <t>Cash Rate</t>
        </is>
      </c>
      <c r="F37" s="5" t="inlineStr">
        <is>
          <t>PIK Rate</t>
        </is>
      </c>
      <c r="G37" s="5" t="inlineStr">
        <is>
          <t>Mandatory Amort.</t>
        </is>
      </c>
      <c r="H37" s="5" t="inlineStr">
        <is>
          <t>Sweep Eligible</t>
        </is>
      </c>
      <c r="I37" s="5" t="inlineStr">
        <is>
          <t>Sweep Priority</t>
        </is>
      </c>
      <c r="J37" s="5" t="inlineStr">
        <is>
          <t>Opening Amount</t>
        </is>
      </c>
    </row>
    <row r="38">
      <c r="C38" s="6" t="inlineStr">
        <is>
          <t>Term Loan A</t>
        </is>
      </c>
      <c r="D38" s="17" t="n">
        <v>3</v>
      </c>
      <c r="E38" s="16" t="n">
        <v>0.06</v>
      </c>
      <c r="F38" s="16" t="n">
        <v>0</v>
      </c>
      <c r="G38" s="16" t="n">
        <v>0.05</v>
      </c>
      <c r="H38" s="19" t="inlineStr">
        <is>
          <t>Yes</t>
        </is>
      </c>
      <c r="I38" s="19" t="n">
        <v>1</v>
      </c>
      <c r="J38" s="9" t="n">
        <v>180000000</v>
      </c>
    </row>
    <row r="39">
      <c r="C39" s="6" t="inlineStr">
        <is>
          <t>Term Loan B</t>
        </is>
      </c>
      <c r="D39" s="17" t="n">
        <v>1</v>
      </c>
      <c r="E39" s="16" t="n">
        <v>0.07000000000000001</v>
      </c>
      <c r="F39" s="16" t="n">
        <v>0</v>
      </c>
      <c r="G39" s="16" t="n">
        <v>0.01</v>
      </c>
      <c r="H39" s="19" t="inlineStr">
        <is>
          <t>Yes</t>
        </is>
      </c>
      <c r="I39" s="19" t="n">
        <v>2</v>
      </c>
      <c r="J39" s="9" t="n">
        <v>60000000</v>
      </c>
    </row>
    <row r="40">
      <c r="C40" s="6" t="inlineStr">
        <is>
          <t>Subordinated PIK Note</t>
        </is>
      </c>
      <c r="D40" s="17" t="n">
        <v>0.5</v>
      </c>
      <c r="E40" s="16" t="n">
        <v>0</v>
      </c>
      <c r="F40" s="16" t="n">
        <v>0.1</v>
      </c>
      <c r="G40" s="16" t="n">
        <v>0</v>
      </c>
      <c r="H40" s="19" t="inlineStr">
        <is>
          <t>No</t>
        </is>
      </c>
      <c r="I40" s="19" t="n">
        <v>99</v>
      </c>
      <c r="J40" s="9" t="n">
        <v>30000000</v>
      </c>
    </row>
  </sheetData>
  <pageMargins left="0.75" right="0.75" top="1" bottom="1" header="0.5" footer="0.5"/>
  <pageSetup fitToHeight="0" fitToWidth="1"/>
  <headerFooter>
    <oddHeader/>
    <oddFooter>&amp;C&amp;8 &amp;K595959Fictional transaction — analytical and portfolio use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zoomScale="90" workbookViewId="0">
      <pane xSplit="3" ySplit="7" topLeftCell="D8" activePane="bottomRight" state="frozen"/>
      <selection pane="topRight" activeCell="C2" sqref="C2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>
      <c r="C2" s="1" t="inlineStr">
        <is>
          <t>Operating Model</t>
        </is>
      </c>
      <c r="D2" s="2" t="n"/>
      <c r="E2" s="2" t="n"/>
      <c r="F2" s="2" t="n"/>
      <c r="G2" s="2" t="n"/>
      <c r="H2" s="2" t="n"/>
      <c r="I2" s="2" t="n"/>
      <c r="J2" s="2" t="n"/>
    </row>
    <row r="3">
      <c r="C3" s="3" t="inlineStr">
        <is>
          <t>Base case | Northstar Components | Annual forecast</t>
        </is>
      </c>
    </row>
    <row r="4"/>
    <row r="5"/>
    <row r="6">
      <c r="C6" s="4" t="inlineStr">
        <is>
          <t>Income statement and operating cash flow</t>
        </is>
      </c>
      <c r="D6" s="4" t="n"/>
      <c r="E6" s="4" t="n"/>
      <c r="F6" s="4" t="n"/>
      <c r="G6" s="4" t="n"/>
      <c r="H6" s="4" t="n"/>
      <c r="I6" s="4" t="n"/>
    </row>
    <row r="7" ht="24" customHeight="1">
      <c r="C7" s="20" t="inlineStr">
        <is>
          <t>€ in millions except percentages and multiples</t>
        </is>
      </c>
      <c r="D7" s="5" t="inlineStr">
        <is>
          <t>Year 0</t>
        </is>
      </c>
      <c r="E7" s="5" t="inlineStr">
        <is>
          <t>Year 1</t>
        </is>
      </c>
      <c r="F7" s="5" t="inlineStr">
        <is>
          <t>Year 2</t>
        </is>
      </c>
      <c r="G7" s="5" t="inlineStr">
        <is>
          <t>Year 3</t>
        </is>
      </c>
      <c r="H7" s="5" t="inlineStr">
        <is>
          <t>Year 4</t>
        </is>
      </c>
      <c r="I7" s="5" t="inlineStr">
        <is>
          <t>Year 5</t>
        </is>
      </c>
    </row>
    <row r="8">
      <c r="C8" s="6" t="inlineStr">
        <is>
          <t>Revenue</t>
        </is>
      </c>
      <c r="D8" s="21" t="n">
        <v>300000000</v>
      </c>
      <c r="E8" s="21" t="n">
        <v>321000000</v>
      </c>
      <c r="F8" s="21" t="n">
        <v>343470000</v>
      </c>
      <c r="G8" s="21" t="n">
        <v>367512900</v>
      </c>
      <c r="H8" s="21" t="n">
        <v>393238803</v>
      </c>
      <c r="I8" s="21" t="n">
        <v>420765519.21</v>
      </c>
    </row>
    <row r="9">
      <c r="C9" s="6" t="inlineStr">
        <is>
          <t>Revenue Growth</t>
        </is>
      </c>
      <c r="D9" s="22" t="n">
        <v>0</v>
      </c>
      <c r="E9" s="22" t="n">
        <v>0.07000000000000001</v>
      </c>
      <c r="F9" s="22" t="n">
        <v>0.07000000000000001</v>
      </c>
      <c r="G9" s="22" t="n">
        <v>0.07000000000000001</v>
      </c>
      <c r="H9" s="22" t="n">
        <v>0.07000000000000001</v>
      </c>
      <c r="I9" s="22" t="n">
        <v>0.07000000000000001</v>
      </c>
    </row>
    <row r="10">
      <c r="C10" s="23" t="inlineStr">
        <is>
          <t>EBITDA</t>
        </is>
      </c>
      <c r="D10" s="24" t="n">
        <v>60000000</v>
      </c>
      <c r="E10" s="24" t="n">
        <v>65805000.00000001</v>
      </c>
      <c r="F10" s="24" t="n">
        <v>72128700</v>
      </c>
      <c r="G10" s="24" t="n">
        <v>79015273.50000001</v>
      </c>
      <c r="H10" s="24" t="n">
        <v>86512536.66</v>
      </c>
      <c r="I10" s="24" t="n">
        <v>94672241.82225001</v>
      </c>
    </row>
    <row r="11">
      <c r="C11" s="6" t="inlineStr">
        <is>
          <t>EBITDA Margin</t>
        </is>
      </c>
      <c r="D11" s="22" t="n">
        <v>0.2</v>
      </c>
      <c r="E11" s="22" t="n">
        <v>0.205</v>
      </c>
      <c r="F11" s="22" t="n">
        <v>0.21</v>
      </c>
      <c r="G11" s="22" t="n">
        <v>0.215</v>
      </c>
      <c r="H11" s="22" t="n">
        <v>0.22</v>
      </c>
      <c r="I11" s="22" t="n">
        <v>0.225</v>
      </c>
    </row>
    <row r="12">
      <c r="C12" s="6" t="inlineStr">
        <is>
          <t>D&amp;A</t>
        </is>
      </c>
      <c r="D12" s="21" t="n">
        <v>12000000</v>
      </c>
      <c r="E12" s="21" t="n">
        <v>12840000</v>
      </c>
      <c r="F12" s="21" t="n">
        <v>13738800</v>
      </c>
      <c r="G12" s="21" t="n">
        <v>14700516</v>
      </c>
      <c r="H12" s="21" t="n">
        <v>15729552.12</v>
      </c>
      <c r="I12" s="21" t="n">
        <v>16830620.7684</v>
      </c>
    </row>
    <row r="13">
      <c r="C13" s="23" t="inlineStr">
        <is>
          <t>EBIT</t>
        </is>
      </c>
      <c r="D13" s="24" t="n">
        <v>48000000</v>
      </c>
      <c r="E13" s="24" t="n">
        <v>52965000.00000001</v>
      </c>
      <c r="F13" s="24" t="n">
        <v>58389900</v>
      </c>
      <c r="G13" s="24" t="n">
        <v>64314757.50000001</v>
      </c>
      <c r="H13" s="24" t="n">
        <v>70782984.53999999</v>
      </c>
      <c r="I13" s="24" t="n">
        <v>77841621.05385001</v>
      </c>
    </row>
    <row r="14">
      <c r="C14" s="6" t="inlineStr">
        <is>
          <t>Cash Interest</t>
        </is>
      </c>
      <c r="D14" s="25" t="n"/>
      <c r="E14" s="21" t="n">
        <v>14709000</v>
      </c>
      <c r="F14" s="21" t="n">
        <v>13279005.6</v>
      </c>
      <c r="G14" s="21" t="n">
        <v>11410945.02144</v>
      </c>
      <c r="H14" s="21" t="n">
        <v>9176517.122494657</v>
      </c>
      <c r="I14" s="21" t="n">
        <v>6563741.187331147</v>
      </c>
    </row>
    <row r="15">
      <c r="C15" s="6" t="inlineStr">
        <is>
          <t>PIK Interest</t>
        </is>
      </c>
      <c r="D15" s="25" t="n"/>
      <c r="E15" s="21" t="n">
        <v>3000000</v>
      </c>
      <c r="F15" s="21" t="n">
        <v>3300000</v>
      </c>
      <c r="G15" s="21" t="n">
        <v>3630000</v>
      </c>
      <c r="H15" s="21" t="n">
        <v>3993000</v>
      </c>
      <c r="I15" s="21" t="n">
        <v>4392300</v>
      </c>
    </row>
    <row r="16">
      <c r="C16" s="6" t="inlineStr">
        <is>
          <t>EBT</t>
        </is>
      </c>
      <c r="D16" s="25" t="n"/>
      <c r="E16" s="21" t="n">
        <v>35256000.00000001</v>
      </c>
      <c r="F16" s="21" t="n">
        <v>41810894.4</v>
      </c>
      <c r="G16" s="21" t="n">
        <v>49273812.47856002</v>
      </c>
      <c r="H16" s="21" t="n">
        <v>57613467.41750534</v>
      </c>
      <c r="I16" s="21" t="n">
        <v>66885579.86651886</v>
      </c>
    </row>
    <row r="17">
      <c r="C17" s="23" t="inlineStr">
        <is>
          <t>Cash Taxes</t>
        </is>
      </c>
      <c r="D17" s="24" t="n"/>
      <c r="E17" s="24" t="n">
        <v>9871680.000000004</v>
      </c>
      <c r="F17" s="24" t="n">
        <v>11707050.432</v>
      </c>
      <c r="G17" s="24" t="n">
        <v>13796667.49399681</v>
      </c>
      <c r="H17" s="24" t="n">
        <v>16131770.8769015</v>
      </c>
      <c r="I17" s="24" t="n">
        <v>18727962.36262528</v>
      </c>
    </row>
    <row r="18">
      <c r="C18" s="6" t="inlineStr">
        <is>
          <t>CapEx</t>
        </is>
      </c>
      <c r="D18" s="21" t="n">
        <v>0</v>
      </c>
      <c r="E18" s="21" t="n">
        <v>9630000</v>
      </c>
      <c r="F18" s="21" t="n">
        <v>10304100</v>
      </c>
      <c r="G18" s="21" t="n">
        <v>11025387</v>
      </c>
      <c r="H18" s="21" t="n">
        <v>11797164.09</v>
      </c>
      <c r="I18" s="21" t="n">
        <v>12622965.5763</v>
      </c>
    </row>
    <row r="19">
      <c r="C19" s="6" t="inlineStr">
        <is>
          <t>NWC</t>
        </is>
      </c>
      <c r="D19" s="21" t="n">
        <v>45000000</v>
      </c>
      <c r="E19" s="21" t="n">
        <v>48150000</v>
      </c>
      <c r="F19" s="21" t="n">
        <v>51520500</v>
      </c>
      <c r="G19" s="21" t="n">
        <v>55126935</v>
      </c>
      <c r="H19" s="21" t="n">
        <v>58985820.45</v>
      </c>
      <c r="I19" s="21" t="n">
        <v>63114827.88150001</v>
      </c>
    </row>
    <row r="20">
      <c r="C20" s="6" t="inlineStr">
        <is>
          <t>Change in NWC</t>
        </is>
      </c>
      <c r="D20" s="21" t="n">
        <v>0</v>
      </c>
      <c r="E20" s="21" t="n">
        <v>3150000</v>
      </c>
      <c r="F20" s="21" t="n">
        <v>3370500</v>
      </c>
      <c r="G20" s="21" t="n">
        <v>3606435</v>
      </c>
      <c r="H20" s="21" t="n">
        <v>3858885.449999996</v>
      </c>
      <c r="I20" s="21" t="n">
        <v>4129007.43150001</v>
      </c>
    </row>
    <row r="21">
      <c r="C21" s="23" t="inlineStr">
        <is>
          <t>FCF Before Debt Paydown</t>
        </is>
      </c>
      <c r="D21" s="24" t="n"/>
      <c r="E21" s="24" t="n">
        <v>28444320</v>
      </c>
      <c r="F21" s="24" t="n">
        <v>33468043.968</v>
      </c>
      <c r="G21" s="24" t="n">
        <v>39175838.98456321</v>
      </c>
      <c r="H21" s="24" t="n">
        <v>45548199.12060386</v>
      </c>
      <c r="I21" s="24" t="n">
        <v>52628565.26449357</v>
      </c>
    </row>
  </sheetData>
  <pageMargins left="0.75" right="0.75" top="1" bottom="1" header="0.5" footer="0.5"/>
  <pageSetup fitToHeight="0" fitToWidth="1"/>
  <headerFooter>
    <oddHeader/>
    <oddFooter>&amp;C&amp;8 &amp;K595959Fictional transaction — analytical and portfolio use only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90" workbookViewId="0">
      <pane xSplit="3" ySplit="7" topLeftCell="D8" activePane="bottomRight" state="frozen"/>
      <selection pane="topRight" activeCell="C2" sqref="C2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/>
    <row r="2">
      <c r="C2" s="1" t="inlineStr">
        <is>
          <t>Debt Schedule</t>
        </is>
      </c>
      <c r="D2" s="2" t="n"/>
      <c r="E2" s="2" t="n"/>
      <c r="F2" s="2" t="n"/>
      <c r="G2" s="2" t="n"/>
      <c r="H2" s="2" t="n"/>
      <c r="I2" s="2" t="n"/>
      <c r="J2" s="2" t="n"/>
    </row>
    <row r="3">
      <c r="C3" s="3" t="inlineStr">
        <is>
          <t>Cash interest on average pre-sweep debt; PIK accrues on opening principal; sweep applied at year-end.</t>
        </is>
      </c>
    </row>
    <row r="4"/>
    <row r="5"/>
    <row r="6">
      <c r="C6" s="4" t="inlineStr">
        <is>
          <t>Term Loan A</t>
        </is>
      </c>
      <c r="D6" s="4" t="n"/>
      <c r="E6" s="4" t="n"/>
      <c r="F6" s="4" t="n"/>
      <c r="G6" s="4" t="n"/>
      <c r="H6" s="4" t="n"/>
    </row>
    <row r="7" ht="24" customHeight="1">
      <c r="C7" s="20" t="inlineStr">
        <is>
          <t>€ in millions except percentages and multiples</t>
        </is>
      </c>
      <c r="D7" s="5" t="inlineStr">
        <is>
          <t>Year 1</t>
        </is>
      </c>
      <c r="E7" s="5" t="inlineStr">
        <is>
          <t>Year 2</t>
        </is>
      </c>
      <c r="F7" s="5" t="inlineStr">
        <is>
          <t>Year 3</t>
        </is>
      </c>
      <c r="G7" s="5" t="inlineStr">
        <is>
          <t>Year 4</t>
        </is>
      </c>
      <c r="H7" s="5" t="inlineStr">
        <is>
          <t>Year 5</t>
        </is>
      </c>
    </row>
    <row r="8">
      <c r="C8" s="6" t="inlineStr">
        <is>
          <t>Opening Debt</t>
        </is>
      </c>
      <c r="D8" s="21" t="n">
        <v>180000000</v>
      </c>
      <c r="E8" s="21" t="n">
        <v>156866760</v>
      </c>
      <c r="F8" s="21" t="n">
        <v>126432417.024</v>
      </c>
      <c r="G8" s="21" t="n">
        <v>89891952.04157761</v>
      </c>
      <c r="H8" s="21" t="n">
        <v>47045686.45551911</v>
      </c>
    </row>
    <row r="9">
      <c r="C9" s="6" t="inlineStr">
        <is>
          <t>Cash Interest</t>
        </is>
      </c>
      <c r="D9" s="21" t="n">
        <v>10530000</v>
      </c>
      <c r="E9" s="21" t="n">
        <v>9142005.6</v>
      </c>
      <c r="F9" s="21" t="n">
        <v>7315945.02144</v>
      </c>
      <c r="G9" s="21" t="n">
        <v>5123517.122494657</v>
      </c>
      <c r="H9" s="21" t="n">
        <v>2552741.187331147</v>
      </c>
    </row>
    <row r="10">
      <c r="C10" s="6" t="inlineStr">
        <is>
          <t>PIK Interest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</row>
    <row r="11">
      <c r="C11" s="6" t="inlineStr">
        <is>
          <t>Mandatory Amortization</t>
        </is>
      </c>
      <c r="D11" s="21" t="n">
        <v>9000000</v>
      </c>
      <c r="E11" s="21" t="n">
        <v>9000000</v>
      </c>
      <c r="F11" s="21" t="n">
        <v>9000000</v>
      </c>
      <c r="G11" s="21" t="n">
        <v>9000000</v>
      </c>
      <c r="H11" s="21" t="n">
        <v>9000000</v>
      </c>
    </row>
    <row r="12">
      <c r="C12" s="6" t="inlineStr">
        <is>
          <t>Cash Sweep</t>
        </is>
      </c>
      <c r="D12" s="21" t="n">
        <v>14133240</v>
      </c>
      <c r="E12" s="21" t="n">
        <v>21434342.976</v>
      </c>
      <c r="F12" s="21" t="n">
        <v>27540464.9824224</v>
      </c>
      <c r="G12" s="21" t="n">
        <v>33846265.5860585</v>
      </c>
      <c r="H12" s="21" t="n">
        <v>38045686.45551911</v>
      </c>
    </row>
    <row r="13">
      <c r="C13" s="23" t="inlineStr">
        <is>
          <t>Closing Debt</t>
        </is>
      </c>
      <c r="D13" s="24" t="n">
        <v>156866760</v>
      </c>
      <c r="E13" s="24" t="n">
        <v>126432417.024</v>
      </c>
      <c r="F13" s="24" t="n">
        <v>89891952.04157761</v>
      </c>
      <c r="G13" s="24" t="n">
        <v>47045686.45551911</v>
      </c>
      <c r="H13" s="24" t="n">
        <v>0</v>
      </c>
    </row>
    <row r="14"/>
    <row r="15"/>
    <row r="16">
      <c r="C16" s="4" t="inlineStr">
        <is>
          <t>Term Loan B</t>
        </is>
      </c>
      <c r="D16" s="4" t="n"/>
      <c r="E16" s="4" t="n"/>
      <c r="F16" s="4" t="n"/>
      <c r="G16" s="4" t="n"/>
      <c r="H16" s="4" t="n"/>
    </row>
    <row r="17" ht="24" customHeight="1">
      <c r="C17" s="20" t="inlineStr">
        <is>
          <t>€ in millions except percentages and multiples</t>
        </is>
      </c>
      <c r="D17" s="5" t="inlineStr">
        <is>
          <t>Year 1</t>
        </is>
      </c>
      <c r="E17" s="5" t="inlineStr">
        <is>
          <t>Year 2</t>
        </is>
      </c>
      <c r="F17" s="5" t="inlineStr">
        <is>
          <t>Year 3</t>
        </is>
      </c>
      <c r="G17" s="5" t="inlineStr">
        <is>
          <t>Year 4</t>
        </is>
      </c>
      <c r="H17" s="5" t="inlineStr">
        <is>
          <t>Year 5</t>
        </is>
      </c>
    </row>
    <row r="18">
      <c r="C18" s="6" t="inlineStr">
        <is>
          <t>Opening Debt</t>
        </is>
      </c>
      <c r="D18" s="21" t="n">
        <v>60000000</v>
      </c>
      <c r="E18" s="21" t="n">
        <v>59400000</v>
      </c>
      <c r="F18" s="21" t="n">
        <v>58800000</v>
      </c>
      <c r="G18" s="21" t="n">
        <v>58200000</v>
      </c>
      <c r="H18" s="21" t="n">
        <v>57600000</v>
      </c>
    </row>
    <row r="19">
      <c r="C19" s="6" t="inlineStr">
        <is>
          <t>Cash Interest</t>
        </is>
      </c>
      <c r="D19" s="21" t="n">
        <v>4179000</v>
      </c>
      <c r="E19" s="21" t="n">
        <v>4137000</v>
      </c>
      <c r="F19" s="21" t="n">
        <v>4095000</v>
      </c>
      <c r="G19" s="21" t="n">
        <v>4053000</v>
      </c>
      <c r="H19" s="21" t="n">
        <v>4011000</v>
      </c>
    </row>
    <row r="20">
      <c r="C20" s="6" t="inlineStr">
        <is>
          <t>PIK Interest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</row>
    <row r="21">
      <c r="C21" s="6" t="inlineStr">
        <is>
          <t>Mandatory Amortization</t>
        </is>
      </c>
      <c r="D21" s="21" t="n">
        <v>600000</v>
      </c>
      <c r="E21" s="21" t="n">
        <v>600000</v>
      </c>
      <c r="F21" s="21" t="n">
        <v>600000</v>
      </c>
      <c r="G21" s="21" t="n">
        <v>600000</v>
      </c>
      <c r="H21" s="21" t="n">
        <v>600000</v>
      </c>
    </row>
    <row r="22">
      <c r="C22" s="6" t="inlineStr">
        <is>
          <t>Cash Sweep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2687303.889365688</v>
      </c>
    </row>
    <row r="23">
      <c r="C23" s="23" t="inlineStr">
        <is>
          <t>Closing Debt</t>
        </is>
      </c>
      <c r="D23" s="24" t="n">
        <v>59400000</v>
      </c>
      <c r="E23" s="24" t="n">
        <v>58800000</v>
      </c>
      <c r="F23" s="24" t="n">
        <v>58200000</v>
      </c>
      <c r="G23" s="24" t="n">
        <v>57600000</v>
      </c>
      <c r="H23" s="24" t="n">
        <v>54312696.11063431</v>
      </c>
    </row>
    <row r="24"/>
    <row r="25"/>
    <row r="26">
      <c r="C26" s="4" t="inlineStr">
        <is>
          <t>Subordinated PIK Note</t>
        </is>
      </c>
      <c r="D26" s="4" t="n"/>
      <c r="E26" s="4" t="n"/>
      <c r="F26" s="4" t="n"/>
      <c r="G26" s="4" t="n"/>
      <c r="H26" s="4" t="n"/>
    </row>
    <row r="27" ht="24" customHeight="1">
      <c r="C27" s="20" t="inlineStr">
        <is>
          <t>€ in millions except percentages and multiples</t>
        </is>
      </c>
      <c r="D27" s="5" t="inlineStr">
        <is>
          <t>Year 1</t>
        </is>
      </c>
      <c r="E27" s="5" t="inlineStr">
        <is>
          <t>Year 2</t>
        </is>
      </c>
      <c r="F27" s="5" t="inlineStr">
        <is>
          <t>Year 3</t>
        </is>
      </c>
      <c r="G27" s="5" t="inlineStr">
        <is>
          <t>Year 4</t>
        </is>
      </c>
      <c r="H27" s="5" t="inlineStr">
        <is>
          <t>Year 5</t>
        </is>
      </c>
    </row>
    <row r="28">
      <c r="C28" s="6" t="inlineStr">
        <is>
          <t>Opening Debt</t>
        </is>
      </c>
      <c r="D28" s="21" t="n">
        <v>30000000</v>
      </c>
      <c r="E28" s="21" t="n">
        <v>33000000</v>
      </c>
      <c r="F28" s="21" t="n">
        <v>36300000</v>
      </c>
      <c r="G28" s="21" t="n">
        <v>39930000</v>
      </c>
      <c r="H28" s="21" t="n">
        <v>43923000</v>
      </c>
    </row>
    <row r="29">
      <c r="C29" s="6" t="inlineStr">
        <is>
          <t>Cash Interest</t>
        </is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</row>
    <row r="30">
      <c r="C30" s="6" t="inlineStr">
        <is>
          <t>PIK Interest</t>
        </is>
      </c>
      <c r="D30" s="21" t="n">
        <v>3000000</v>
      </c>
      <c r="E30" s="21" t="n">
        <v>3300000</v>
      </c>
      <c r="F30" s="21" t="n">
        <v>3630000</v>
      </c>
      <c r="G30" s="21" t="n">
        <v>3993000</v>
      </c>
      <c r="H30" s="21" t="n">
        <v>4392300</v>
      </c>
    </row>
    <row r="31">
      <c r="C31" s="6" t="inlineStr">
        <is>
          <t>Mandatory Amortization</t>
        </is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</row>
    <row r="32">
      <c r="C32" s="6" t="inlineStr">
        <is>
          <t>Cash Sweep</t>
        </is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</row>
    <row r="33">
      <c r="C33" s="23" t="inlineStr">
        <is>
          <t>Closing Debt</t>
        </is>
      </c>
      <c r="D33" s="24" t="n">
        <v>33000000</v>
      </c>
      <c r="E33" s="24" t="n">
        <v>36300000</v>
      </c>
      <c r="F33" s="24" t="n">
        <v>39930000</v>
      </c>
      <c r="G33" s="24" t="n">
        <v>43923000</v>
      </c>
      <c r="H33" s="24" t="n">
        <v>48315300</v>
      </c>
    </row>
    <row r="34"/>
    <row r="35"/>
    <row r="36">
      <c r="C36" s="4" t="inlineStr">
        <is>
          <t>Cash flow and leverage</t>
        </is>
      </c>
      <c r="D36" s="4" t="n"/>
      <c r="E36" s="4" t="n"/>
      <c r="F36" s="4" t="n"/>
      <c r="G36" s="4" t="n"/>
      <c r="H36" s="4" t="n"/>
    </row>
    <row r="37" ht="24" customHeight="1">
      <c r="C37" s="20" t="inlineStr">
        <is>
          <t>€ in millions except percentages and multiples</t>
        </is>
      </c>
      <c r="D37" s="5" t="inlineStr">
        <is>
          <t>Year 1</t>
        </is>
      </c>
      <c r="E37" s="5" t="inlineStr">
        <is>
          <t>Year 2</t>
        </is>
      </c>
      <c r="F37" s="5" t="inlineStr">
        <is>
          <t>Year 3</t>
        </is>
      </c>
      <c r="G37" s="5" t="inlineStr">
        <is>
          <t>Year 4</t>
        </is>
      </c>
      <c r="H37" s="5" t="inlineStr">
        <is>
          <t>Year 5</t>
        </is>
      </c>
    </row>
    <row r="38">
      <c r="C38" s="6" t="inlineStr">
        <is>
          <t>Opening Cash</t>
        </is>
      </c>
      <c r="D38" s="21" t="n">
        <v>5000000</v>
      </c>
      <c r="E38" s="21" t="n">
        <v>9711080</v>
      </c>
      <c r="F38" s="21" t="n">
        <v>12144780.992</v>
      </c>
      <c r="G38" s="21" t="n">
        <v>14180154.9941408</v>
      </c>
      <c r="H38" s="21" t="n">
        <v>16282088.52868617</v>
      </c>
    </row>
    <row r="39">
      <c r="C39" s="6" t="inlineStr">
        <is>
          <t>FCF Before Debt Paydown</t>
        </is>
      </c>
      <c r="D39" s="21" t="n">
        <v>28444320</v>
      </c>
      <c r="E39" s="21" t="n">
        <v>33468043.968</v>
      </c>
      <c r="F39" s="21" t="n">
        <v>39175838.98456321</v>
      </c>
      <c r="G39" s="21" t="n">
        <v>45548199.12060386</v>
      </c>
      <c r="H39" s="21" t="n">
        <v>52628565.26449357</v>
      </c>
    </row>
    <row r="40">
      <c r="C40" s="6" t="inlineStr">
        <is>
          <t>Mandatory Amortization</t>
        </is>
      </c>
      <c r="D40" s="21" t="n">
        <v>9600000</v>
      </c>
      <c r="E40" s="21" t="n">
        <v>9600000</v>
      </c>
      <c r="F40" s="21" t="n">
        <v>9600000</v>
      </c>
      <c r="G40" s="21" t="n">
        <v>9600000</v>
      </c>
      <c r="H40" s="21" t="n">
        <v>9600000</v>
      </c>
    </row>
    <row r="41">
      <c r="C41" s="6" t="inlineStr">
        <is>
          <t>Cash Before Sweep</t>
        </is>
      </c>
      <c r="D41" s="21" t="n">
        <v>23844320</v>
      </c>
      <c r="E41" s="21" t="n">
        <v>33579123.96799999</v>
      </c>
      <c r="F41" s="21" t="n">
        <v>41720619.97656321</v>
      </c>
      <c r="G41" s="21" t="n">
        <v>50128354.11474466</v>
      </c>
      <c r="H41" s="21" t="n">
        <v>59310653.79317974</v>
      </c>
    </row>
    <row r="42">
      <c r="C42" s="6" t="inlineStr">
        <is>
          <t>Cash Sweep</t>
        </is>
      </c>
      <c r="D42" s="21" t="n">
        <v>14133240</v>
      </c>
      <c r="E42" s="21" t="n">
        <v>21434342.976</v>
      </c>
      <c r="F42" s="21" t="n">
        <v>27540464.9824224</v>
      </c>
      <c r="G42" s="21" t="n">
        <v>33846265.5860585</v>
      </c>
      <c r="H42" s="21" t="n">
        <v>40732990.3448848</v>
      </c>
    </row>
    <row r="43">
      <c r="C43" s="23" t="inlineStr">
        <is>
          <t>Closing Cash</t>
        </is>
      </c>
      <c r="D43" s="24" t="n">
        <v>9711080</v>
      </c>
      <c r="E43" s="24" t="n">
        <v>12144780.992</v>
      </c>
      <c r="F43" s="24" t="n">
        <v>14180154.9941408</v>
      </c>
      <c r="G43" s="24" t="n">
        <v>16282088.52868617</v>
      </c>
      <c r="H43" s="24" t="n">
        <v>18577663.44829494</v>
      </c>
    </row>
    <row r="44">
      <c r="C44" s="23" t="inlineStr">
        <is>
          <t>Total Debt</t>
        </is>
      </c>
      <c r="D44" s="24" t="n">
        <v>249266760</v>
      </c>
      <c r="E44" s="24" t="n">
        <v>221532417.024</v>
      </c>
      <c r="F44" s="24" t="n">
        <v>188021952.0415776</v>
      </c>
      <c r="G44" s="24" t="n">
        <v>148568686.4555191</v>
      </c>
      <c r="H44" s="24" t="n">
        <v>102627996.1106343</v>
      </c>
    </row>
    <row r="45">
      <c r="C45" s="23" t="inlineStr">
        <is>
          <t>Net Debt</t>
        </is>
      </c>
      <c r="D45" s="24" t="n">
        <v>239555680</v>
      </c>
      <c r="E45" s="24" t="n">
        <v>209387636.032</v>
      </c>
      <c r="F45" s="24" t="n">
        <v>173841797.0474368</v>
      </c>
      <c r="G45" s="24" t="n">
        <v>132286597.9268329</v>
      </c>
      <c r="H45" s="24" t="n">
        <v>84050332.66233937</v>
      </c>
    </row>
    <row r="46">
      <c r="C46" s="23" t="inlineStr">
        <is>
          <t>Net Debt / EBITDA</t>
        </is>
      </c>
      <c r="D46" s="26" t="n">
        <v>3.640387204619709</v>
      </c>
      <c r="E46" s="26" t="n">
        <v>2.902972548125781</v>
      </c>
      <c r="F46" s="26" t="n">
        <v>2.200103718522683</v>
      </c>
      <c r="G46" s="26" t="n">
        <v>1.529103214794499</v>
      </c>
      <c r="H46" s="26" t="n">
        <v>0.8878033417667072</v>
      </c>
    </row>
  </sheetData>
  <pageMargins left="0.75" right="0.75" top="1" bottom="1" header="0.5" footer="0.5"/>
  <pageSetup fitToHeight="0" fitToWidth="1"/>
  <headerFooter>
    <oddHeader/>
    <oddFooter>&amp;C&amp;8 &amp;K595959Fictional transaction — analytical and portfolio use only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zoomScale="90" workbookViewId="0">
      <selection activeCell="C2" sqref="C2"/>
    </sheetView>
  </sheetViews>
  <sheetFormatPr baseColWidth="8" defaultRowHeight="15"/>
  <cols>
    <col width="2" customWidth="1" min="1" max="1"/>
    <col width="2" customWidth="1" min="2" max="2"/>
    <col width="31" customWidth="1" min="3" max="3"/>
    <col width="17" customWidth="1" min="4" max="4"/>
    <col width="17" customWidth="1" min="5" max="5"/>
    <col width="29" customWidth="1" min="6" max="6"/>
    <col width="17" customWidth="1" min="7" max="7"/>
    <col width="31" customWidth="1" min="8" max="8"/>
    <col width="17" customWidth="1" min="9" max="9"/>
    <col width="17" customWidth="1" min="10" max="10"/>
    <col width="19" customWidth="1" min="11" max="11"/>
  </cols>
  <sheetData>
    <row r="1"/>
    <row r="2">
      <c r="C2" s="1" t="inlineStr">
        <is>
          <t>Returns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C3" s="3" t="inlineStr">
        <is>
          <t>Sources &amp; Uses, exit bridge and sponsor returns</t>
        </is>
      </c>
    </row>
    <row r="4"/>
    <row r="5"/>
    <row r="6">
      <c r="C6" s="4" t="inlineStr">
        <is>
          <t>Sources &amp; Uses</t>
        </is>
      </c>
      <c r="D6" s="4" t="n"/>
      <c r="E6" s="4" t="n"/>
      <c r="F6" s="4" t="n"/>
      <c r="G6" s="4" t="n"/>
      <c r="H6" s="4" t="n"/>
    </row>
    <row r="7" ht="24" customHeight="1">
      <c r="C7" s="5" t="inlineStr">
        <is>
          <t>Uses</t>
        </is>
      </c>
      <c r="D7" s="5" t="inlineStr">
        <is>
          <t>Amount</t>
        </is>
      </c>
      <c r="F7" s="5" t="inlineStr">
        <is>
          <t>Sources</t>
        </is>
      </c>
      <c r="G7" s="5" t="inlineStr">
        <is>
          <t>Amount</t>
        </is>
      </c>
    </row>
    <row r="8">
      <c r="C8" s="6" t="inlineStr">
        <is>
          <t>Purchase of enterprise value</t>
        </is>
      </c>
      <c r="D8" s="9" t="n">
        <v>450000000</v>
      </c>
      <c r="F8" s="6" t="inlineStr">
        <is>
          <t>Term Loan A</t>
        </is>
      </c>
      <c r="G8" s="9" t="n">
        <v>180000000</v>
      </c>
    </row>
    <row r="9">
      <c r="C9" s="6" t="inlineStr">
        <is>
          <t>Transaction fees</t>
        </is>
      </c>
      <c r="D9" s="9" t="n">
        <v>9000000</v>
      </c>
      <c r="F9" s="6" t="inlineStr">
        <is>
          <t>Term Loan B</t>
        </is>
      </c>
      <c r="G9" s="9" t="n">
        <v>60000000</v>
      </c>
    </row>
    <row r="10">
      <c r="C10" s="6" t="inlineStr">
        <is>
          <t>Financing fees</t>
        </is>
      </c>
      <c r="D10" s="9" t="n">
        <v>5400000</v>
      </c>
      <c r="F10" s="6" t="inlineStr">
        <is>
          <t>Subordinated PIK Note</t>
        </is>
      </c>
      <c r="G10" s="9" t="n">
        <v>30000000</v>
      </c>
    </row>
    <row r="11">
      <c r="C11" s="6" t="inlineStr">
        <is>
          <t>Minimum cash funded</t>
        </is>
      </c>
      <c r="D11" s="9" t="n">
        <v>5000000</v>
      </c>
      <c r="F11" s="6" t="inlineStr">
        <is>
          <t>Sponsor equity</t>
        </is>
      </c>
      <c r="G11" s="9" t="n">
        <v>199400000</v>
      </c>
    </row>
    <row r="12">
      <c r="C12" s="23" t="inlineStr">
        <is>
          <t>Total Uses</t>
        </is>
      </c>
      <c r="D12" s="27" t="n">
        <v>469400000</v>
      </c>
      <c r="F12" s="23" t="inlineStr">
        <is>
          <t>Total Sources</t>
        </is>
      </c>
      <c r="G12" s="27" t="n">
        <v>469400000</v>
      </c>
    </row>
    <row r="13"/>
    <row r="14"/>
    <row r="15"/>
    <row r="16">
      <c r="C16" s="4" t="inlineStr">
        <is>
          <t>Scenario returns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24" customHeight="1">
      <c r="C17" s="5" t="inlineStr">
        <is>
          <t>Scenario</t>
        </is>
      </c>
      <c r="D17" s="5" t="inlineStr">
        <is>
          <t>Exit EBITDA</t>
        </is>
      </c>
      <c r="E17" s="5" t="inlineStr">
        <is>
          <t>Exit Multiple</t>
        </is>
      </c>
      <c r="F17" s="5" t="inlineStr">
        <is>
          <t>Exit EV</t>
        </is>
      </c>
      <c r="G17" s="5" t="inlineStr">
        <is>
          <t>Exit Debt</t>
        </is>
      </c>
      <c r="H17" s="5" t="inlineStr">
        <is>
          <t>Exit Cash</t>
        </is>
      </c>
      <c r="I17" s="5" t="inlineStr">
        <is>
          <t>Exit Equity</t>
        </is>
      </c>
      <c r="J17" s="5" t="inlineStr">
        <is>
          <t>MOIC</t>
        </is>
      </c>
      <c r="K17" s="5" t="inlineStr">
        <is>
          <t>IRR</t>
        </is>
      </c>
    </row>
    <row r="18">
      <c r="C18" s="6" t="inlineStr">
        <is>
          <t>Bear</t>
        </is>
      </c>
      <c r="D18" s="9" t="n">
        <v>69556444.458</v>
      </c>
      <c r="E18" s="8" t="n">
        <v>6.5</v>
      </c>
      <c r="F18" s="9" t="n">
        <v>452116888.977</v>
      </c>
      <c r="G18" s="9" t="n">
        <v>152304896.2047242</v>
      </c>
      <c r="H18" s="9" t="n">
        <v>29536575.37740211</v>
      </c>
      <c r="I18" s="9" t="n">
        <v>324827399.259908</v>
      </c>
      <c r="J18" s="8" t="n">
        <v>1.629024068505055</v>
      </c>
      <c r="K18" s="7" t="n">
        <v>0.1025175216943248</v>
      </c>
    </row>
    <row r="19">
      <c r="C19" s="28" t="inlineStr">
        <is>
          <t>Base</t>
        </is>
      </c>
      <c r="D19" s="29" t="n">
        <v>94672241.82225001</v>
      </c>
      <c r="E19" s="30" t="n">
        <v>7.5</v>
      </c>
      <c r="F19" s="29" t="n">
        <v>710041813.6668751</v>
      </c>
      <c r="G19" s="29" t="n">
        <v>102627996.1106343</v>
      </c>
      <c r="H19" s="29" t="n">
        <v>18577663.44829494</v>
      </c>
      <c r="I19" s="29" t="n">
        <v>618891062.8678669</v>
      </c>
      <c r="J19" s="30" t="n">
        <v>3.10376661418188</v>
      </c>
      <c r="K19" s="31" t="n">
        <v>0.2542318107106598</v>
      </c>
    </row>
    <row r="20">
      <c r="C20" s="6" t="inlineStr">
        <is>
          <t>Bull</t>
        </is>
      </c>
      <c r="D20" s="9" t="n">
        <v>114748837.5</v>
      </c>
      <c r="E20" s="8" t="n">
        <v>8.5</v>
      </c>
      <c r="F20" s="9" t="n">
        <v>975365118.7500004</v>
      </c>
      <c r="G20" s="9" t="n">
        <v>60831492.8667728</v>
      </c>
      <c r="H20" s="9" t="n">
        <v>5000000</v>
      </c>
      <c r="I20" s="9" t="n">
        <v>909779974.6957276</v>
      </c>
      <c r="J20" s="8" t="n">
        <v>4.562587636387802</v>
      </c>
      <c r="K20" s="7" t="n">
        <v>0.3546972333469118</v>
      </c>
    </row>
    <row r="21"/>
    <row r="22"/>
    <row r="23">
      <c r="C23" s="4" t="inlineStr">
        <is>
          <t>Base case exit equity bridge</t>
        </is>
      </c>
      <c r="D23" s="4" t="n"/>
      <c r="E23" s="4" t="n"/>
      <c r="F23" s="4" t="n"/>
      <c r="G23" s="4" t="n"/>
      <c r="H23" s="4" t="inlineStr">
        <is>
          <t>Base case value creation</t>
        </is>
      </c>
      <c r="I23" s="4" t="n"/>
      <c r="J23" s="4" t="n"/>
      <c r="K23" s="4" t="n"/>
    </row>
    <row r="24">
      <c r="C24" s="6" t="inlineStr">
        <is>
          <t>Exit EBITDA</t>
        </is>
      </c>
      <c r="E24" s="9" t="n">
        <v>94672241.82225001</v>
      </c>
      <c r="H24" s="6" t="inlineStr">
        <is>
          <t>Sponsor equity invested</t>
        </is>
      </c>
      <c r="K24" s="9" t="n">
        <v>199400000</v>
      </c>
    </row>
    <row r="25">
      <c r="C25" s="6" t="inlineStr">
        <is>
          <t>Exit Multiple</t>
        </is>
      </c>
      <c r="E25" s="8" t="n">
        <v>7.5</v>
      </c>
      <c r="H25" s="6" t="inlineStr">
        <is>
          <t>EBITDA growth</t>
        </is>
      </c>
      <c r="K25" s="9" t="n">
        <v>260041813.6668751</v>
      </c>
    </row>
    <row r="26">
      <c r="C26" s="6" t="inlineStr">
        <is>
          <t>Exit Enterprise Value</t>
        </is>
      </c>
      <c r="E26" s="9" t="n">
        <v>710041813.6668751</v>
      </c>
      <c r="H26" s="6" t="inlineStr">
        <is>
          <t>Multiple expansion / (contraction)</t>
        </is>
      </c>
      <c r="K26" s="9" t="n">
        <v>0</v>
      </c>
    </row>
    <row r="27">
      <c r="C27" s="6" t="inlineStr">
        <is>
          <t>Less: Closing Debt</t>
        </is>
      </c>
      <c r="E27" s="9" t="n">
        <v>-102627996.1106343</v>
      </c>
      <c r="H27" s="6" t="inlineStr">
        <is>
          <t>Gross debt paydown</t>
        </is>
      </c>
      <c r="K27" s="9" t="n">
        <v>167372003.8893657</v>
      </c>
    </row>
    <row r="28">
      <c r="C28" s="6" t="inlineStr">
        <is>
          <t>Add: Closing Cash</t>
        </is>
      </c>
      <c r="E28" s="9" t="n">
        <v>18577663.44829494</v>
      </c>
      <c r="H28" s="6" t="inlineStr">
        <is>
          <t>Change in cash</t>
        </is>
      </c>
      <c r="K28" s="9" t="n">
        <v>13577663.44829494</v>
      </c>
    </row>
    <row r="29">
      <c r="C29" s="6" t="inlineStr">
        <is>
          <t>Less: Exit Fees</t>
        </is>
      </c>
      <c r="E29" s="9" t="n">
        <v>-7100418.136668751</v>
      </c>
      <c r="H29" s="6" t="inlineStr">
        <is>
          <t>Entry fees</t>
        </is>
      </c>
      <c r="K29" s="9" t="n">
        <v>-14400000</v>
      </c>
    </row>
    <row r="30">
      <c r="C30" s="23" t="inlineStr">
        <is>
          <t>Sponsor Equity Value</t>
        </is>
      </c>
      <c r="D30" s="23" t="n"/>
      <c r="E30" s="27" t="n">
        <v>618891062.8678669</v>
      </c>
      <c r="H30" s="6" t="inlineStr">
        <is>
          <t>Exit fees</t>
        </is>
      </c>
      <c r="K30" s="9" t="n">
        <v>-7100418.136668751</v>
      </c>
    </row>
    <row r="31">
      <c r="C31" s="6" t="inlineStr">
        <is>
          <t>MOIC</t>
        </is>
      </c>
      <c r="E31" s="8" t="n">
        <v>3.10376661418188</v>
      </c>
      <c r="H31" s="23" t="inlineStr">
        <is>
          <t>Sponsor equity value at exit</t>
        </is>
      </c>
      <c r="I31" s="23" t="n"/>
      <c r="J31" s="23" t="n"/>
      <c r="K31" s="27" t="n">
        <v>618891062.8678669</v>
      </c>
    </row>
    <row r="32">
      <c r="C32" s="6" t="inlineStr">
        <is>
          <t>IRR</t>
        </is>
      </c>
      <c r="E32" s="7" t="n">
        <v>0.2542318107106598</v>
      </c>
    </row>
    <row r="33"/>
    <row r="34"/>
    <row r="35">
      <c r="C35" s="4" t="inlineStr">
        <is>
          <t>Sponsor equity value by scenario</t>
        </is>
      </c>
      <c r="D35" s="4" t="n"/>
      <c r="E35" s="4" t="n"/>
    </row>
    <row r="36" ht="24" customHeight="1">
      <c r="C36" s="5" t="inlineStr">
        <is>
          <t>Scenario</t>
        </is>
      </c>
      <c r="D36" s="5" t="inlineStr">
        <is>
          <t>Entry Equity</t>
        </is>
      </c>
      <c r="E36" s="5" t="inlineStr">
        <is>
          <t>Exit Equity</t>
        </is>
      </c>
    </row>
    <row r="37">
      <c r="C37" s="6" t="inlineStr">
        <is>
          <t>Bear</t>
        </is>
      </c>
      <c r="D37" s="9" t="n">
        <v>199400000</v>
      </c>
      <c r="E37" s="9" t="n">
        <v>324827399.259908</v>
      </c>
    </row>
    <row r="38">
      <c r="C38" s="6" t="inlineStr">
        <is>
          <t>Base</t>
        </is>
      </c>
      <c r="D38" s="9" t="n">
        <v>199400000</v>
      </c>
      <c r="E38" s="9" t="n">
        <v>618891062.8678669</v>
      </c>
    </row>
    <row r="39">
      <c r="C39" s="6" t="inlineStr">
        <is>
          <t>Bull</t>
        </is>
      </c>
      <c r="D39" s="9" t="n">
        <v>199400000</v>
      </c>
      <c r="E39" s="9" t="n">
        <v>909779974.6957276</v>
      </c>
    </row>
  </sheetData>
  <pageMargins left="0.75" right="0.75" top="1" bottom="1" header="0.5" footer="0.5"/>
  <pageSetup fitToHeight="0" fitToWidth="1"/>
  <headerFooter>
    <oddHeader/>
    <oddFooter>&amp;C&amp;8 &amp;K595959Fictional transaction — analytical and portfolio use only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2"/>
  <sheetViews>
    <sheetView showGridLines="0" zoomScale="90" workbookViewId="0">
      <pane xSplit="3" ySplit="7" topLeftCell="D8" activePane="bottomRight" state="frozen"/>
      <selection pane="topRight" activeCell="C2" sqref="C2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4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/>
    <row r="2">
      <c r="C2" s="1" t="inlineStr">
        <is>
          <t>Sensitivities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C3" s="3" t="inlineStr">
        <is>
          <t>Each cell re-runs operating cash flow, debt paydown and exit returns.</t>
        </is>
      </c>
    </row>
    <row r="4"/>
    <row r="5"/>
    <row r="6">
      <c r="C6" s="4" t="inlineStr">
        <is>
          <t>IRR: Entry Multiple × Exit Multiple</t>
        </is>
      </c>
      <c r="D6" s="4" t="n"/>
      <c r="E6" s="4" t="n"/>
      <c r="F6" s="4" t="n"/>
      <c r="G6" s="4" t="n"/>
      <c r="H6" s="4" t="n"/>
    </row>
    <row r="7" ht="24" customHeight="1">
      <c r="C7" s="5" t="inlineStr">
        <is>
          <t>Entry Multiple</t>
        </is>
      </c>
      <c r="D7" s="32" t="n">
        <v>6.5</v>
      </c>
      <c r="E7" s="32" t="n">
        <v>7</v>
      </c>
      <c r="F7" s="32" t="n">
        <v>7.5</v>
      </c>
      <c r="G7" s="32" t="n">
        <v>8</v>
      </c>
      <c r="H7" s="32" t="n">
        <v>8.5</v>
      </c>
    </row>
    <row r="8">
      <c r="C8" s="8" t="n">
        <v>6.5</v>
      </c>
      <c r="D8" s="7" t="n">
        <v>0.3060434822091036</v>
      </c>
      <c r="E8" s="7" t="n">
        <v>0.328562209476688</v>
      </c>
      <c r="F8" s="7" t="n">
        <v>0.349650231888873</v>
      </c>
      <c r="G8" s="7" t="n">
        <v>0.3694971258302808</v>
      </c>
      <c r="H8" s="7" t="n">
        <v>0.3882560544401086</v>
      </c>
    </row>
    <row r="9">
      <c r="C9" s="8" t="n">
        <v>7</v>
      </c>
      <c r="D9" s="7" t="n">
        <v>0.2548296048301122</v>
      </c>
      <c r="E9" s="7" t="n">
        <v>0.2764653053434398</v>
      </c>
      <c r="F9" s="7" t="n">
        <v>0.2967264032246313</v>
      </c>
      <c r="G9" s="7" t="n">
        <v>0.315795041000364</v>
      </c>
      <c r="H9" s="7" t="n">
        <v>0.3338183758243247</v>
      </c>
    </row>
    <row r="10">
      <c r="C10" s="8" t="n">
        <v>7.5</v>
      </c>
      <c r="D10" s="7" t="n">
        <v>0.2137079984533763</v>
      </c>
      <c r="E10" s="7" t="n">
        <v>0.2346346825737458</v>
      </c>
      <c r="F10" s="7" t="n">
        <v>0.2542318107106598</v>
      </c>
      <c r="G10" s="7" t="n">
        <v>0.272675556458235</v>
      </c>
      <c r="H10" s="7" t="n">
        <v>0.2901082545316966</v>
      </c>
    </row>
    <row r="11">
      <c r="C11" s="8" t="n">
        <v>8</v>
      </c>
      <c r="D11" s="7" t="n">
        <v>0.1795427282842672</v>
      </c>
      <c r="E11" s="7" t="n">
        <v>0.1998803367640154</v>
      </c>
      <c r="F11" s="7" t="n">
        <v>0.218925815593032</v>
      </c>
      <c r="G11" s="7" t="n">
        <v>0.2368503791673009</v>
      </c>
      <c r="H11" s="7" t="n">
        <v>0.2537923555513486</v>
      </c>
    </row>
    <row r="12">
      <c r="C12" s="8" t="n">
        <v>8.5</v>
      </c>
      <c r="D12" s="7" t="n">
        <v>0.1504410307043595</v>
      </c>
      <c r="E12" s="7" t="n">
        <v>0.1702768693734142</v>
      </c>
      <c r="F12" s="7" t="n">
        <v>0.1888524578357182</v>
      </c>
      <c r="G12" s="7" t="n">
        <v>0.2063347862828639</v>
      </c>
      <c r="H12" s="7" t="n">
        <v>0.2228587699470956</v>
      </c>
    </row>
    <row r="13"/>
    <row r="14"/>
    <row r="15"/>
    <row r="16">
      <c r="C16" s="4" t="inlineStr">
        <is>
          <t>IRR: Exit Multiple × Exit EBITDA CAGR</t>
        </is>
      </c>
      <c r="D16" s="4" t="n"/>
      <c r="E16" s="4" t="n"/>
      <c r="F16" s="4" t="n"/>
      <c r="G16" s="4" t="n"/>
      <c r="H16" s="4" t="n"/>
    </row>
    <row r="17" ht="24" customHeight="1">
      <c r="C17" s="5" t="inlineStr">
        <is>
          <t>Exit EBITDA CAGR</t>
        </is>
      </c>
      <c r="D17" s="32" t="n">
        <v>6.5</v>
      </c>
      <c r="E17" s="32" t="n">
        <v>7</v>
      </c>
      <c r="F17" s="32" t="n">
        <v>7.5</v>
      </c>
      <c r="G17" s="32" t="n">
        <v>8</v>
      </c>
      <c r="H17" s="32" t="n">
        <v>8.5</v>
      </c>
    </row>
    <row r="18">
      <c r="C18" s="7" t="n">
        <v>0.07550479342738227</v>
      </c>
      <c r="D18" s="7" t="n">
        <v>0.1790173496096579</v>
      </c>
      <c r="E18" s="7" t="n">
        <v>0.2004108760725414</v>
      </c>
      <c r="F18" s="7" t="n">
        <v>0.2203798138705488</v>
      </c>
      <c r="G18" s="7" t="n">
        <v>0.2391213198145616</v>
      </c>
      <c r="H18" s="7" t="n">
        <v>0.2567931167453192</v>
      </c>
    </row>
    <row r="19">
      <c r="C19" s="7" t="n">
        <v>0.08550479342738228</v>
      </c>
      <c r="D19" s="7" t="n">
        <v>0.1965459545847792</v>
      </c>
      <c r="E19" s="7" t="n">
        <v>0.217688422168802</v>
      </c>
      <c r="F19" s="7" t="n">
        <v>0.237456972663324</v>
      </c>
      <c r="G19" s="7" t="n">
        <v>0.2560375041258756</v>
      </c>
      <c r="H19" s="7" t="n">
        <v>0.2735795055503021</v>
      </c>
    </row>
    <row r="20">
      <c r="C20" s="7" t="n">
        <v>0.09550479342738227</v>
      </c>
      <c r="D20" s="7" t="n">
        <v>0.2137079984533763</v>
      </c>
      <c r="E20" s="7" t="n">
        <v>0.2346346825737455</v>
      </c>
      <c r="F20" s="7" t="n">
        <v>0.2542318107106596</v>
      </c>
      <c r="G20" s="7" t="n">
        <v>0.2726755564582348</v>
      </c>
      <c r="H20" s="7" t="n">
        <v>0.2901082545316964</v>
      </c>
    </row>
    <row r="21">
      <c r="C21" s="7" t="n">
        <v>0.1055047934273823</v>
      </c>
      <c r="D21" s="7" t="n">
        <v>0.2305386176845285</v>
      </c>
      <c r="E21" s="7" t="n">
        <v>0.2512802731255217</v>
      </c>
      <c r="F21" s="7" t="n">
        <v>0.2707313836558374</v>
      </c>
      <c r="G21" s="7" t="n">
        <v>0.2890596686580307</v>
      </c>
      <c r="H21" s="7" t="n">
        <v>0.3064012102039444</v>
      </c>
    </row>
    <row r="22">
      <c r="C22" s="7" t="n">
        <v>0.1155047934273823</v>
      </c>
      <c r="D22" s="7" t="n">
        <v>0.2470683835786727</v>
      </c>
      <c r="E22" s="7" t="n">
        <v>0.2676519907729169</v>
      </c>
      <c r="F22" s="7" t="n">
        <v>0.2869794925711655</v>
      </c>
      <c r="G22" s="7" t="n">
        <v>0.3052112155976574</v>
      </c>
      <c r="H22" s="7" t="n">
        <v>0.3224777487483999</v>
      </c>
    </row>
    <row r="23"/>
    <row r="24"/>
    <row r="25"/>
    <row r="26">
      <c r="C26" s="4" t="inlineStr">
        <is>
          <t>Holding period sensitivity</t>
        </is>
      </c>
      <c r="D26" s="4" t="n"/>
      <c r="E26" s="4" t="n"/>
      <c r="F26" s="4" t="n"/>
      <c r="G26" s="4" t="n"/>
      <c r="H26" s="4" t="n"/>
    </row>
    <row r="27" ht="24" customHeight="1">
      <c r="C27" s="5" t="inlineStr">
        <is>
          <t>Holding Period</t>
        </is>
      </c>
      <c r="D27" s="5" t="inlineStr">
        <is>
          <t>Exit EBITDA</t>
        </is>
      </c>
      <c r="E27" s="5" t="inlineStr">
        <is>
          <t>Exit Equity Value</t>
        </is>
      </c>
      <c r="F27" s="5" t="inlineStr">
        <is>
          <t>MOIC</t>
        </is>
      </c>
      <c r="G27" s="5" t="inlineStr">
        <is>
          <t>IRR</t>
        </is>
      </c>
      <c r="H27" s="5" t="inlineStr">
        <is>
          <t>Exit Net Leverage</t>
        </is>
      </c>
    </row>
    <row r="28">
      <c r="C28" s="33" t="n">
        <v>3</v>
      </c>
      <c r="D28" s="9" t="n">
        <v>79015273.50000001</v>
      </c>
      <c r="E28" s="9" t="n">
        <v>412846608.6900634</v>
      </c>
      <c r="F28" s="8" t="n">
        <v>2.070444376580057</v>
      </c>
      <c r="G28" s="7" t="n">
        <v>0.2745430891995049</v>
      </c>
      <c r="H28" s="8" t="n">
        <v>2.200103718522683</v>
      </c>
    </row>
    <row r="29">
      <c r="C29" s="33" t="n">
        <v>4</v>
      </c>
      <c r="D29" s="9" t="n">
        <v>86512536.66</v>
      </c>
      <c r="E29" s="9" t="n">
        <v>510068986.773667</v>
      </c>
      <c r="F29" s="8" t="n">
        <v>2.558018990840858</v>
      </c>
      <c r="G29" s="7" t="n">
        <v>0.2646662859538507</v>
      </c>
      <c r="H29" s="8" t="n">
        <v>1.529103214794499</v>
      </c>
    </row>
    <row r="30">
      <c r="C30" s="33" t="n">
        <v>5</v>
      </c>
      <c r="D30" s="9" t="n">
        <v>94672241.82225001</v>
      </c>
      <c r="E30" s="9" t="n">
        <v>618891062.8678669</v>
      </c>
      <c r="F30" s="8" t="n">
        <v>3.10376661418188</v>
      </c>
      <c r="G30" s="7" t="n">
        <v>0.2542318107106598</v>
      </c>
      <c r="H30" s="8" t="n">
        <v>0.8878033417667072</v>
      </c>
    </row>
    <row r="31">
      <c r="C31" s="33" t="n">
        <v>6</v>
      </c>
      <c r="D31" s="9" t="n">
        <v>103550394.277581</v>
      </c>
      <c r="E31" s="9" t="n">
        <v>740284530.1084487</v>
      </c>
      <c r="F31" s="8" t="n">
        <v>3.712560331536854</v>
      </c>
      <c r="G31" s="7" t="n">
        <v>0.2443586946252254</v>
      </c>
      <c r="H31" s="8" t="n">
        <v>0.2759733326170195</v>
      </c>
    </row>
    <row r="32">
      <c r="C32" s="33" t="n">
        <v>7</v>
      </c>
      <c r="D32" s="9" t="n">
        <v>113207594.0917294</v>
      </c>
      <c r="E32" s="9" t="n">
        <v>875888226.5788825</v>
      </c>
      <c r="F32" s="8" t="n">
        <v>4.392618989864005</v>
      </c>
      <c r="G32" s="7" t="n">
        <v>0.2354285910307543</v>
      </c>
      <c r="H32" s="8" t="n">
        <v>-0.3120094613014355</v>
      </c>
    </row>
  </sheetData>
  <conditionalFormatting sqref="D8:H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H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headerFooter>
    <oddHeader/>
    <oddFooter>&amp;C&amp;8 &amp;K595959Fictional transaction — analytical and portfolio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2026-09-04T13:37:58Z</dcterms:created>
  <dcterms:modified xsi:type="dcterms:W3CDTF">2026-09-04T13:37:58Z</dcterms:modified>
</cp:coreProperties>
</file>